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bjit\Downloads\"/>
    </mc:Choice>
  </mc:AlternateContent>
  <xr:revisionPtr revIDLastSave="0" documentId="8_{59E2E2B7-8835-454A-A6CD-FEC68B53C37C}" xr6:coauthVersionLast="47" xr6:coauthVersionMax="47" xr10:uidLastSave="{00000000-0000-0000-0000-000000000000}"/>
  <bookViews>
    <workbookView xWindow="-108" yWindow="-108" windowWidth="23256" windowHeight="13176" xr2:uid="{E7874550-0F8E-4DC9-975B-16C7B242C5AD}"/>
  </bookViews>
  <sheets>
    <sheet name="INDEX &amp;  MAT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2" i="1" l="1"/>
  <c r="J36" i="1"/>
  <c r="J32" i="1"/>
  <c r="J28" i="1"/>
  <c r="J24" i="1"/>
  <c r="J16" i="1"/>
  <c r="J20" i="1"/>
  <c r="J12" i="1"/>
</calcChain>
</file>

<file path=xl/sharedStrings.xml><?xml version="1.0" encoding="utf-8"?>
<sst xmlns="http://schemas.openxmlformats.org/spreadsheetml/2006/main" count="51" uniqueCount="29">
  <si>
    <t>Product ID</t>
  </si>
  <si>
    <t>Product</t>
  </si>
  <si>
    <t>Category</t>
  </si>
  <si>
    <t xml:space="preserve">Jan Sales </t>
  </si>
  <si>
    <t>Feb Sales</t>
  </si>
  <si>
    <t>Mar Sales</t>
  </si>
  <si>
    <t>Apr Sales</t>
  </si>
  <si>
    <t>May Sales</t>
  </si>
  <si>
    <t>PRODA</t>
  </si>
  <si>
    <t>PRODB</t>
  </si>
  <si>
    <t>PRODC</t>
  </si>
  <si>
    <t>PRODD</t>
  </si>
  <si>
    <t>PRODE</t>
  </si>
  <si>
    <t>PRODF</t>
  </si>
  <si>
    <t>Electronics</t>
  </si>
  <si>
    <t>Furniture</t>
  </si>
  <si>
    <t>Clothing</t>
  </si>
  <si>
    <t xml:space="preserve">Max Sales </t>
  </si>
  <si>
    <t>Sume of Apr sale</t>
  </si>
  <si>
    <t>Sales Month</t>
  </si>
  <si>
    <t xml:space="preserve">1. Use INDEX and MATCH to find the sales for Product C in March. </t>
  </si>
  <si>
    <t xml:space="preserve">2. Use INDEX and MATCH to find the category for Product E. </t>
  </si>
  <si>
    <t xml:space="preserve">3.  Use INDEX and MATCH to find the maximum sales for Product B across all months. </t>
  </si>
  <si>
    <t xml:space="preserve">4. Use INDEX and MATCH to find the month with the maximum sales for Product A. </t>
  </si>
  <si>
    <t xml:space="preserve">5.  Use INDEX, MATCH, and SUMIF to sum the sales for all products in the "Electronics" category for April. </t>
  </si>
  <si>
    <t xml:space="preserve">6. Use INDEX and MATCH to calculate the average sales for Product D across all months. </t>
  </si>
  <si>
    <t xml:space="preserve">7. Use INDEX and MATCH to find the sales for Product ID 105 in May. </t>
  </si>
  <si>
    <t xml:space="preserve">8. Use INDEX and MATCH to create a dynamic lookup where the user can input a product and a month, and the formula returns the corresponding sales. </t>
  </si>
  <si>
    <t>Avg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</si>
</sst>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51301-9780-4F85-AA64-14092E061804}">
  <dimension ref="A1:K42"/>
  <sheetViews>
    <sheetView tabSelected="1" workbookViewId="0">
      <selection activeCell="K16" sqref="K16"/>
    </sheetView>
  </sheetViews>
  <sheetFormatPr defaultColWidth="9.109375" defaultRowHeight="14.4" x14ac:dyDescent="0.3"/>
  <cols>
    <col min="1" max="1" width="11.77734375" style="1" bestFit="1" customWidth="1"/>
    <col min="2" max="2" width="9.21875" style="1" bestFit="1" customWidth="1"/>
    <col min="3" max="3" width="10.33203125" style="1" bestFit="1" customWidth="1"/>
    <col min="4" max="4" width="11.44140625" style="1" bestFit="1" customWidth="1"/>
    <col min="5" max="6" width="11" style="1" bestFit="1" customWidth="1"/>
    <col min="7" max="7" width="10.88671875" style="1" bestFit="1" customWidth="1"/>
    <col min="8" max="8" width="11.33203125" style="1" bestFit="1" customWidth="1"/>
    <col min="9" max="9" width="10.33203125" style="1" bestFit="1" customWidth="1"/>
    <col min="10" max="10" width="18.21875" style="1" bestFit="1" customWidth="1"/>
    <col min="11" max="11" width="137.6640625" style="1" bestFit="1" customWidth="1"/>
    <col min="12" max="16384" width="9.109375" style="1"/>
  </cols>
  <sheetData>
    <row r="1" spans="1:1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K1" s="5" t="s">
        <v>20</v>
      </c>
    </row>
    <row r="2" spans="1:11" x14ac:dyDescent="0.3">
      <c r="A2" s="8">
        <v>101</v>
      </c>
      <c r="B2" s="8" t="s">
        <v>8</v>
      </c>
      <c r="C2" s="8" t="s">
        <v>14</v>
      </c>
      <c r="D2" s="8">
        <v>120</v>
      </c>
      <c r="E2" s="8">
        <v>130</v>
      </c>
      <c r="F2" s="8">
        <v>140</v>
      </c>
      <c r="G2" s="8">
        <v>150</v>
      </c>
      <c r="H2" s="8">
        <v>160</v>
      </c>
      <c r="K2" s="5" t="s">
        <v>21</v>
      </c>
    </row>
    <row r="3" spans="1:11" x14ac:dyDescent="0.3">
      <c r="A3" s="8">
        <v>102</v>
      </c>
      <c r="B3" s="8" t="s">
        <v>9</v>
      </c>
      <c r="C3" s="8" t="s">
        <v>15</v>
      </c>
      <c r="D3" s="8">
        <v>150</v>
      </c>
      <c r="E3" s="8">
        <v>160</v>
      </c>
      <c r="F3" s="8">
        <v>170</v>
      </c>
      <c r="G3" s="8">
        <v>180</v>
      </c>
      <c r="H3" s="8">
        <v>190</v>
      </c>
      <c r="K3" s="5" t="s">
        <v>22</v>
      </c>
    </row>
    <row r="4" spans="1:11" x14ac:dyDescent="0.3">
      <c r="A4" s="8">
        <v>103</v>
      </c>
      <c r="B4" s="8" t="s">
        <v>10</v>
      </c>
      <c r="C4" s="8" t="s">
        <v>14</v>
      </c>
      <c r="D4" s="8">
        <v>200</v>
      </c>
      <c r="E4" s="8">
        <v>210</v>
      </c>
      <c r="F4" s="8">
        <v>220</v>
      </c>
      <c r="G4" s="8">
        <v>230</v>
      </c>
      <c r="H4" s="8">
        <v>240</v>
      </c>
      <c r="K4" s="5" t="s">
        <v>23</v>
      </c>
    </row>
    <row r="5" spans="1:11" x14ac:dyDescent="0.3">
      <c r="A5" s="8">
        <v>104</v>
      </c>
      <c r="B5" s="8" t="s">
        <v>11</v>
      </c>
      <c r="C5" s="8" t="s">
        <v>16</v>
      </c>
      <c r="D5" s="8">
        <v>90</v>
      </c>
      <c r="E5" s="8">
        <v>100</v>
      </c>
      <c r="F5" s="8">
        <v>110</v>
      </c>
      <c r="G5" s="8">
        <v>120</v>
      </c>
      <c r="H5" s="8">
        <v>130</v>
      </c>
      <c r="K5" s="5" t="s">
        <v>24</v>
      </c>
    </row>
    <row r="6" spans="1:11" x14ac:dyDescent="0.3">
      <c r="A6" s="8">
        <v>105</v>
      </c>
      <c r="B6" s="8" t="s">
        <v>12</v>
      </c>
      <c r="C6" s="8" t="s">
        <v>15</v>
      </c>
      <c r="D6" s="8">
        <v>220</v>
      </c>
      <c r="E6" s="8">
        <v>230</v>
      </c>
      <c r="F6" s="8">
        <v>240</v>
      </c>
      <c r="G6" s="8">
        <v>250</v>
      </c>
      <c r="H6" s="8">
        <v>260</v>
      </c>
      <c r="K6" s="5" t="s">
        <v>25</v>
      </c>
    </row>
    <row r="7" spans="1:11" x14ac:dyDescent="0.3">
      <c r="A7" s="8">
        <v>106</v>
      </c>
      <c r="B7" s="8" t="s">
        <v>13</v>
      </c>
      <c r="C7" s="8" t="s">
        <v>14</v>
      </c>
      <c r="D7" s="8">
        <v>130</v>
      </c>
      <c r="E7" s="8">
        <v>140</v>
      </c>
      <c r="F7" s="8">
        <v>150</v>
      </c>
      <c r="G7" s="8">
        <v>160</v>
      </c>
      <c r="H7" s="8">
        <v>170</v>
      </c>
      <c r="K7" s="5" t="s">
        <v>26</v>
      </c>
    </row>
    <row r="8" spans="1:11" x14ac:dyDescent="0.3">
      <c r="K8" s="5" t="s">
        <v>27</v>
      </c>
    </row>
    <row r="10" spans="1:11" x14ac:dyDescent="0.3">
      <c r="I10" s="4"/>
    </row>
    <row r="11" spans="1:11" x14ac:dyDescent="0.3">
      <c r="I11" s="7" t="s">
        <v>1</v>
      </c>
      <c r="J11" s="6" t="s">
        <v>5</v>
      </c>
    </row>
    <row r="12" spans="1:11" x14ac:dyDescent="0.3">
      <c r="I12" s="9" t="s">
        <v>8</v>
      </c>
      <c r="J12" s="8">
        <f>INDEX(D2:H7,MATCH(I12,B2:B7,0),MATCH(J11,D1:H1,0))</f>
        <v>140</v>
      </c>
    </row>
    <row r="13" spans="1:11" x14ac:dyDescent="0.3">
      <c r="I13" s="3"/>
    </row>
    <row r="14" spans="1:11" x14ac:dyDescent="0.3">
      <c r="I14" s="4"/>
    </row>
    <row r="15" spans="1:11" x14ac:dyDescent="0.3">
      <c r="I15" s="7" t="s">
        <v>1</v>
      </c>
      <c r="J15" s="6" t="s">
        <v>2</v>
      </c>
    </row>
    <row r="16" spans="1:11" x14ac:dyDescent="0.3">
      <c r="I16" s="9" t="s">
        <v>12</v>
      </c>
      <c r="J16" s="8" t="str">
        <f>INDEX(C2:C7,MATCH(I16,B2:B7,0))</f>
        <v>Furniture</v>
      </c>
    </row>
    <row r="17" spans="8:10" x14ac:dyDescent="0.3">
      <c r="I17" s="3"/>
    </row>
    <row r="18" spans="8:10" x14ac:dyDescent="0.3">
      <c r="H18" s="2"/>
      <c r="I18" s="4"/>
    </row>
    <row r="19" spans="8:10" x14ac:dyDescent="0.3">
      <c r="I19" s="7" t="s">
        <v>1</v>
      </c>
      <c r="J19" s="6" t="s">
        <v>17</v>
      </c>
    </row>
    <row r="20" spans="8:10" x14ac:dyDescent="0.3">
      <c r="I20" s="9" t="s">
        <v>9</v>
      </c>
      <c r="J20" s="8">
        <f>MAX(INDEX(D2:H7,MATCH(I20,B2:B7,0),0))</f>
        <v>190</v>
      </c>
    </row>
    <row r="21" spans="8:10" x14ac:dyDescent="0.3">
      <c r="I21" s="3"/>
    </row>
    <row r="22" spans="8:10" x14ac:dyDescent="0.3">
      <c r="I22" s="4"/>
    </row>
    <row r="23" spans="8:10" x14ac:dyDescent="0.3">
      <c r="I23" s="7" t="s">
        <v>1</v>
      </c>
      <c r="J23" s="6" t="s">
        <v>17</v>
      </c>
    </row>
    <row r="24" spans="8:10" x14ac:dyDescent="0.3">
      <c r="I24" s="9" t="s">
        <v>8</v>
      </c>
      <c r="J24" s="8" t="str">
        <f>INDEX(D1:H1, MATCH(MAX(D2:H2),D2:H2, 0))</f>
        <v>May Sales</v>
      </c>
    </row>
    <row r="25" spans="8:10" x14ac:dyDescent="0.3">
      <c r="I25" s="3"/>
    </row>
    <row r="26" spans="8:10" x14ac:dyDescent="0.3">
      <c r="I26" s="4"/>
    </row>
    <row r="27" spans="8:10" x14ac:dyDescent="0.3">
      <c r="I27" s="7" t="s">
        <v>2</v>
      </c>
      <c r="J27" s="6" t="s">
        <v>18</v>
      </c>
    </row>
    <row r="28" spans="8:10" x14ac:dyDescent="0.3">
      <c r="I28" s="9" t="s">
        <v>14</v>
      </c>
      <c r="J28" s="8">
        <f>SUMIF(C2:C7, "Electronics", G2:G7)</f>
        <v>540</v>
      </c>
    </row>
    <row r="29" spans="8:10" x14ac:dyDescent="0.3">
      <c r="I29" s="3"/>
    </row>
    <row r="30" spans="8:10" x14ac:dyDescent="0.3">
      <c r="I30" s="4"/>
    </row>
    <row r="31" spans="8:10" x14ac:dyDescent="0.3">
      <c r="I31" s="7" t="s">
        <v>1</v>
      </c>
      <c r="J31" s="6" t="s">
        <v>28</v>
      </c>
    </row>
    <row r="32" spans="8:10" x14ac:dyDescent="0.3">
      <c r="I32" s="9" t="s">
        <v>10</v>
      </c>
      <c r="J32" s="8">
        <f>AVERAGE(INDEX(D2:H7,MATCH(I32,B2:B7,0),))</f>
        <v>220</v>
      </c>
    </row>
    <row r="33" spans="9:10" x14ac:dyDescent="0.3">
      <c r="I33" s="3"/>
    </row>
    <row r="34" spans="9:10" x14ac:dyDescent="0.3">
      <c r="I34" s="4"/>
    </row>
    <row r="35" spans="9:10" x14ac:dyDescent="0.3">
      <c r="I35" s="7" t="s">
        <v>0</v>
      </c>
      <c r="J35" s="6" t="s">
        <v>7</v>
      </c>
    </row>
    <row r="36" spans="9:10" x14ac:dyDescent="0.3">
      <c r="I36" s="9">
        <v>105</v>
      </c>
      <c r="J36" s="5">
        <f>INDEX(D2:H7, MATCH(I36, A2:A7,0),MATCH(J35,D1:H1,0))</f>
        <v>260</v>
      </c>
    </row>
    <row r="37" spans="9:10" x14ac:dyDescent="0.3">
      <c r="I37" s="3"/>
    </row>
    <row r="38" spans="9:10" x14ac:dyDescent="0.3">
      <c r="I38" s="3"/>
    </row>
    <row r="39" spans="9:10" x14ac:dyDescent="0.3">
      <c r="I39" s="3"/>
    </row>
    <row r="40" spans="9:10" x14ac:dyDescent="0.3">
      <c r="I40" s="4"/>
    </row>
    <row r="41" spans="9:10" x14ac:dyDescent="0.3">
      <c r="I41" s="7" t="s">
        <v>1</v>
      </c>
      <c r="J41" s="6" t="s">
        <v>19</v>
      </c>
    </row>
    <row r="42" spans="9:10" x14ac:dyDescent="0.3">
      <c r="I42" s="9" t="s">
        <v>11</v>
      </c>
      <c r="J42" s="8" t="str">
        <f>INDEX(D1:H1, MATCH(MAX(D2:H2), D2:H2, 0))</f>
        <v>May Sales</v>
      </c>
    </row>
  </sheetData>
  <dataValidations count="1">
    <dataValidation type="list" allowBlank="1" showInputMessage="1" showErrorMessage="1" sqref="I12 I42" xr:uid="{CD5E1AEF-96AA-459C-839F-FE7F7A83159A}">
      <formula1>$B$2:$B$7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 &amp; 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Prabin Mondal</dc:creator>
  <cp:lastModifiedBy>Debjit Das</cp:lastModifiedBy>
  <dcterms:created xsi:type="dcterms:W3CDTF">2026-08-12T08:37:14Z</dcterms:created>
  <dcterms:modified xsi:type="dcterms:W3CDTF">2026-08-26T11:02:39Z</dcterms:modified>
</cp:coreProperties>
</file>