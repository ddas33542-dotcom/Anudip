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bjit\Downloads\"/>
    </mc:Choice>
  </mc:AlternateContent>
  <xr:revisionPtr revIDLastSave="0" documentId="8_{18925CB6-6188-48B6-A4B2-BE84CD20A66F}" xr6:coauthVersionLast="47" xr6:coauthVersionMax="47" xr10:uidLastSave="{00000000-0000-0000-0000-000000000000}"/>
  <bookViews>
    <workbookView xWindow="4728" yWindow="3840" windowWidth="17280" windowHeight="888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3" i="1" l="1"/>
  <c r="N4" i="1"/>
  <c r="N5" i="1"/>
  <c r="N6" i="1"/>
  <c r="N7" i="1"/>
  <c r="N2" i="1"/>
  <c r="M4" i="1"/>
  <c r="M3" i="1"/>
  <c r="M5" i="1"/>
  <c r="M6" i="1"/>
  <c r="M7" i="1"/>
  <c r="M2" i="1"/>
  <c r="G2" i="1"/>
  <c r="G3" i="1"/>
  <c r="G4" i="1"/>
  <c r="G5" i="1"/>
  <c r="G6" i="1"/>
  <c r="G7" i="1"/>
  <c r="L3" i="1"/>
  <c r="L4" i="1"/>
  <c r="L5" i="1"/>
  <c r="L6" i="1"/>
  <c r="L7" i="1"/>
  <c r="L2" i="1"/>
  <c r="K3" i="1"/>
  <c r="K4" i="1"/>
  <c r="K5" i="1"/>
  <c r="K6" i="1"/>
  <c r="K7" i="1"/>
  <c r="K2" i="1"/>
  <c r="I3" i="1"/>
  <c r="J3" i="1" s="1"/>
  <c r="I4" i="1"/>
  <c r="J4" i="1" s="1"/>
  <c r="I5" i="1"/>
  <c r="J5" i="1" s="1"/>
  <c r="I6" i="1"/>
  <c r="J6" i="1" s="1"/>
  <c r="I7" i="1"/>
  <c r="J7" i="1" s="1"/>
  <c r="I2" i="1"/>
  <c r="J2" i="1" s="1"/>
  <c r="H3" i="1"/>
  <c r="H4" i="1"/>
  <c r="H5" i="1"/>
  <c r="H6" i="1"/>
  <c r="H7" i="1"/>
  <c r="H2" i="1"/>
  <c r="F3" i="1"/>
  <c r="F4" i="1"/>
  <c r="F5" i="1"/>
  <c r="F6" i="1"/>
  <c r="F7" i="1"/>
  <c r="F2" i="1"/>
</calcChain>
</file>

<file path=xl/sharedStrings.xml><?xml version="1.0" encoding="utf-8"?>
<sst xmlns="http://schemas.openxmlformats.org/spreadsheetml/2006/main" count="34" uniqueCount="32">
  <si>
    <t>Product ID</t>
  </si>
  <si>
    <t>Product</t>
  </si>
  <si>
    <t xml:space="preserve">Sales </t>
  </si>
  <si>
    <t>Target</t>
  </si>
  <si>
    <t>Region</t>
  </si>
  <si>
    <t>Product A</t>
  </si>
  <si>
    <t>Product B</t>
  </si>
  <si>
    <t>Product C</t>
  </si>
  <si>
    <t>Product D</t>
  </si>
  <si>
    <t>Product E</t>
  </si>
  <si>
    <t>Product F</t>
  </si>
  <si>
    <t>North</t>
  </si>
  <si>
    <t>South</t>
  </si>
  <si>
    <t>East</t>
  </si>
  <si>
    <t>West</t>
  </si>
  <si>
    <t>Target Stetus</t>
  </si>
  <si>
    <t>Bonus Stetus</t>
  </si>
  <si>
    <t>Commution Rate</t>
  </si>
  <si>
    <t>Bonus Rate</t>
  </si>
  <si>
    <t>Bonus Amount</t>
  </si>
  <si>
    <t>Price Tier</t>
  </si>
  <si>
    <t>Year-end Bonus</t>
  </si>
  <si>
    <t>Sales Performence</t>
  </si>
  <si>
    <t>Product Performence</t>
  </si>
  <si>
    <t xml:space="preserve">Use the IF function to evaluate whether each product met its sales target. </t>
  </si>
  <si>
    <t xml:space="preserve">Use the IF function to determine if a product is eligible for a regional bonus. Products the "North" region with sales over 200 are eligible. </t>
  </si>
  <si>
    <t>Use nested IF functions to assign a commission rate based on sales. Sales &gt;= 200 get a 10% commission, sales &gt;= 150 get a 7% commission, and others get a 5% commission.</t>
  </si>
  <si>
    <t xml:space="preserve">Use the IF function to calculate a bonus amount. If sales met or exceeded the target, the bonus is 10% of the sales; otherwise, it's 5%. </t>
  </si>
  <si>
    <t xml:space="preserve">Use the IF function to categorize sales performance as "Excellent" (&gt;=200), "Good" (&gt;=150), or "Needs Improvement" (&lt;150). </t>
  </si>
  <si>
    <t xml:space="preserve">Use the IF function to assign a price tier based on the sales value. "High" for sales &gt; 200, "Medium" for sales between 100 and 200, and "Low" for sales &lt; 100. </t>
  </si>
  <si>
    <t xml:space="preserve">Use the IF function to calculate the year-end bonus. If sales &gt;= 150 and region is "North", the bonus is $500, otherwise, it's $300. </t>
  </si>
  <si>
    <t xml:space="preserve">Use the IF function to mark high performers. A product is a high performer if its sales are in the top 25% of all sales.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</si>
</sst>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color rgb="FF0070C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9" fontId="0" fillId="0" borderId="0" xfId="0" applyNumberFormat="1"/>
    <xf numFmtId="0" fontId="2" fillId="2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8"/>
  <sheetViews>
    <sheetView tabSelected="1" workbookViewId="0">
      <selection activeCell="Q11" sqref="Q11"/>
    </sheetView>
  </sheetViews>
  <sheetFormatPr defaultRowHeight="14.4" x14ac:dyDescent="0.3"/>
  <cols>
    <col min="1" max="1" width="10.109375" bestFit="1" customWidth="1"/>
    <col min="2" max="2" width="9.5546875" bestFit="1" customWidth="1"/>
    <col min="3" max="3" width="6" bestFit="1" customWidth="1"/>
    <col min="4" max="4" width="8.109375" bestFit="1" customWidth="1"/>
    <col min="5" max="5" width="7.109375" bestFit="1" customWidth="1"/>
    <col min="6" max="6" width="12.5546875" bestFit="1" customWidth="1"/>
    <col min="7" max="7" width="12.5546875" customWidth="1"/>
    <col min="8" max="8" width="16" bestFit="1" customWidth="1"/>
    <col min="9" max="9" width="10.88671875" bestFit="1" customWidth="1"/>
    <col min="10" max="10" width="14.109375" bestFit="1" customWidth="1"/>
    <col min="11" max="11" width="19.5546875" bestFit="1" customWidth="1"/>
    <col min="13" max="13" width="15" bestFit="1" customWidth="1"/>
    <col min="14" max="14" width="20" bestFit="1" customWidth="1"/>
    <col min="19" max="19" width="96.88671875" bestFit="1" customWidth="1"/>
  </cols>
  <sheetData>
    <row r="1" spans="1:23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15</v>
      </c>
      <c r="G1" s="3" t="s">
        <v>16</v>
      </c>
      <c r="H1" s="3" t="s">
        <v>17</v>
      </c>
      <c r="I1" s="3" t="s">
        <v>18</v>
      </c>
      <c r="J1" s="3" t="s">
        <v>19</v>
      </c>
      <c r="K1" s="3" t="s">
        <v>22</v>
      </c>
      <c r="L1" s="3" t="s">
        <v>20</v>
      </c>
      <c r="M1" s="3" t="s">
        <v>21</v>
      </c>
      <c r="N1" s="3" t="s">
        <v>23</v>
      </c>
      <c r="R1" s="6">
        <v>1</v>
      </c>
      <c r="S1" s="6" t="s">
        <v>24</v>
      </c>
      <c r="T1" s="6"/>
      <c r="U1" s="6"/>
      <c r="V1" s="6"/>
      <c r="W1" s="6"/>
    </row>
    <row r="2" spans="1:23" x14ac:dyDescent="0.3">
      <c r="A2" s="4">
        <v>101</v>
      </c>
      <c r="B2" s="5" t="s">
        <v>5</v>
      </c>
      <c r="C2" s="4">
        <v>120</v>
      </c>
      <c r="D2" s="4">
        <v>150</v>
      </c>
      <c r="E2" s="4" t="s">
        <v>11</v>
      </c>
      <c r="F2" s="4" t="str">
        <f>IF(C2=D2,"Met","Not Met")</f>
        <v>Not Met</v>
      </c>
      <c r="G2" s="4" t="str">
        <f>IF(AND(E2="North",C2&gt;200),"Eligible","Not Eligible")</f>
        <v>Not Eligible</v>
      </c>
      <c r="H2" s="4" t="str">
        <f>IF(C2&gt;=200,"10%",IF(C2&gt;=150,"7%","5%"))</f>
        <v>5%</v>
      </c>
      <c r="I2" s="4" t="str">
        <f>IF(C2&gt;=D2,"10%","5%")</f>
        <v>5%</v>
      </c>
      <c r="J2" s="4">
        <f>C2*I2</f>
        <v>6</v>
      </c>
      <c r="K2" s="4" t="str">
        <f>IF(C2&gt;=200,"Excellent",IF(C2&gt;=150,"Good","Needs Improvement"))</f>
        <v>Needs Improvement</v>
      </c>
      <c r="L2" s="4" t="str">
        <f>IF(C2&gt;200,"High",IF(AND((C2&lt;=200),(C2&gt;=100)),"Medium","Low"))</f>
        <v>Medium</v>
      </c>
      <c r="M2" s="4" t="str">
        <f>IF(AND(E2="North",C2&gt;=150),"$500","$300")</f>
        <v>$300</v>
      </c>
      <c r="N2" s="4" t="str">
        <f>IF(C2&gt;=_xlfn.PERCENTILE.INC($C$2:$C$7,0.75),"High Performance","Low Performance")</f>
        <v>Low Performance</v>
      </c>
      <c r="R2" s="6">
        <v>2</v>
      </c>
      <c r="S2" s="6" t="s">
        <v>25</v>
      </c>
      <c r="T2" s="6"/>
      <c r="U2" s="6"/>
      <c r="V2" s="6"/>
      <c r="W2" s="6"/>
    </row>
    <row r="3" spans="1:23" x14ac:dyDescent="0.3">
      <c r="A3" s="4">
        <v>102</v>
      </c>
      <c r="B3" s="5" t="s">
        <v>6</v>
      </c>
      <c r="C3" s="4">
        <v>150</v>
      </c>
      <c r="D3" s="4">
        <v>140</v>
      </c>
      <c r="E3" s="4" t="s">
        <v>12</v>
      </c>
      <c r="F3" s="4" t="str">
        <f t="shared" ref="F3:F7" si="0">IF(C3=D3,"Met","Not Met")</f>
        <v>Not Met</v>
      </c>
      <c r="G3" s="4" t="str">
        <f t="shared" ref="G3:G7" si="1">IF(AND(E3="North",C3&gt;200),"Eligible","Not Eligible")</f>
        <v>Not Eligible</v>
      </c>
      <c r="H3" s="4" t="str">
        <f t="shared" ref="H3:H7" si="2">IF(C3&gt;=200,"10%",IF(C3&gt;=150,"7%","5%"))</f>
        <v>7%</v>
      </c>
      <c r="I3" s="4" t="str">
        <f t="shared" ref="I3:I7" si="3">IF(C3&gt;=D3,"10%","5%")</f>
        <v>10%</v>
      </c>
      <c r="J3" s="4">
        <f t="shared" ref="J3:J7" si="4">C3*I3</f>
        <v>15</v>
      </c>
      <c r="K3" s="4" t="str">
        <f t="shared" ref="K3:K7" si="5">IF(C3&gt;=200,"Excellent",IF(C3&gt;=150,"Good","Needs Improvement"))</f>
        <v>Good</v>
      </c>
      <c r="L3" s="4" t="str">
        <f t="shared" ref="L3:L7" si="6">IF(C3&gt;200,"High",IF(AND((C3&lt;=200),(C3&gt;=100)),"Medium","Low"))</f>
        <v>Medium</v>
      </c>
      <c r="M3" s="4" t="str">
        <f t="shared" ref="M3:M7" si="7">IF(AND(E3="North",C3&gt;=150),"$500","$300")</f>
        <v>$300</v>
      </c>
      <c r="N3" s="4" t="str">
        <f t="shared" ref="N3:N7" si="8">IF(C3&gt;=_xlfn.PERCENTILE.INC($C$2:$C$7,0.75),"High Performance","Low Performance")</f>
        <v>Low Performance</v>
      </c>
      <c r="R3" s="6">
        <v>3</v>
      </c>
      <c r="S3" s="6" t="s">
        <v>26</v>
      </c>
      <c r="T3" s="6"/>
      <c r="U3" s="6"/>
      <c r="V3" s="6"/>
      <c r="W3" s="6"/>
    </row>
    <row r="4" spans="1:23" x14ac:dyDescent="0.3">
      <c r="A4" s="4">
        <v>103</v>
      </c>
      <c r="B4" s="5" t="s">
        <v>7</v>
      </c>
      <c r="C4" s="4">
        <v>200</v>
      </c>
      <c r="D4" s="4">
        <v>200</v>
      </c>
      <c r="E4" s="4" t="s">
        <v>13</v>
      </c>
      <c r="F4" s="4" t="str">
        <f t="shared" si="0"/>
        <v>Met</v>
      </c>
      <c r="G4" s="4" t="str">
        <f t="shared" si="1"/>
        <v>Not Eligible</v>
      </c>
      <c r="H4" s="4" t="str">
        <f t="shared" si="2"/>
        <v>10%</v>
      </c>
      <c r="I4" s="4" t="str">
        <f t="shared" si="3"/>
        <v>10%</v>
      </c>
      <c r="J4" s="4">
        <f t="shared" si="4"/>
        <v>20</v>
      </c>
      <c r="K4" s="4" t="str">
        <f t="shared" si="5"/>
        <v>Excellent</v>
      </c>
      <c r="L4" s="4" t="str">
        <f t="shared" si="6"/>
        <v>Medium</v>
      </c>
      <c r="M4" s="4" t="str">
        <f>IF(AND(E4="North",C4&gt;=150),"$500","$300")</f>
        <v>$300</v>
      </c>
      <c r="N4" s="4" t="str">
        <f t="shared" si="8"/>
        <v>High Performance</v>
      </c>
      <c r="R4" s="6">
        <v>4</v>
      </c>
      <c r="S4" s="6" t="s">
        <v>27</v>
      </c>
      <c r="T4" s="6"/>
      <c r="U4" s="6"/>
      <c r="V4" s="6"/>
      <c r="W4" s="6"/>
    </row>
    <row r="5" spans="1:23" x14ac:dyDescent="0.3">
      <c r="A5" s="4">
        <v>104</v>
      </c>
      <c r="B5" s="5" t="s">
        <v>8</v>
      </c>
      <c r="C5" s="4">
        <v>90</v>
      </c>
      <c r="D5" s="4">
        <v>100</v>
      </c>
      <c r="E5" s="4" t="s">
        <v>14</v>
      </c>
      <c r="F5" s="4" t="str">
        <f t="shared" si="0"/>
        <v>Not Met</v>
      </c>
      <c r="G5" s="4" t="str">
        <f t="shared" si="1"/>
        <v>Not Eligible</v>
      </c>
      <c r="H5" s="4" t="str">
        <f t="shared" si="2"/>
        <v>5%</v>
      </c>
      <c r="I5" s="4" t="str">
        <f t="shared" si="3"/>
        <v>5%</v>
      </c>
      <c r="J5" s="4">
        <f t="shared" si="4"/>
        <v>4.5</v>
      </c>
      <c r="K5" s="4" t="str">
        <f t="shared" si="5"/>
        <v>Needs Improvement</v>
      </c>
      <c r="L5" s="4" t="str">
        <f t="shared" si="6"/>
        <v>Low</v>
      </c>
      <c r="M5" s="4" t="str">
        <f t="shared" si="7"/>
        <v>$300</v>
      </c>
      <c r="N5" s="4" t="str">
        <f t="shared" si="8"/>
        <v>Low Performance</v>
      </c>
      <c r="R5" s="6">
        <v>5</v>
      </c>
      <c r="S5" s="6" t="s">
        <v>28</v>
      </c>
      <c r="T5" s="6"/>
      <c r="U5" s="6"/>
      <c r="V5" s="6"/>
      <c r="W5" s="6"/>
    </row>
    <row r="6" spans="1:23" x14ac:dyDescent="0.3">
      <c r="A6" s="4">
        <v>105</v>
      </c>
      <c r="B6" s="5" t="s">
        <v>9</v>
      </c>
      <c r="C6" s="4">
        <v>220</v>
      </c>
      <c r="D6" s="4">
        <v>210</v>
      </c>
      <c r="E6" s="4" t="s">
        <v>11</v>
      </c>
      <c r="F6" s="4" t="str">
        <f t="shared" si="0"/>
        <v>Not Met</v>
      </c>
      <c r="G6" s="4" t="str">
        <f t="shared" si="1"/>
        <v>Eligible</v>
      </c>
      <c r="H6" s="4" t="str">
        <f t="shared" si="2"/>
        <v>10%</v>
      </c>
      <c r="I6" s="4" t="str">
        <f t="shared" si="3"/>
        <v>10%</v>
      </c>
      <c r="J6" s="4">
        <f t="shared" si="4"/>
        <v>22</v>
      </c>
      <c r="K6" s="4" t="str">
        <f t="shared" si="5"/>
        <v>Excellent</v>
      </c>
      <c r="L6" s="4" t="str">
        <f t="shared" si="6"/>
        <v>High</v>
      </c>
      <c r="M6" s="4" t="str">
        <f t="shared" si="7"/>
        <v>$500</v>
      </c>
      <c r="N6" s="4" t="str">
        <f t="shared" si="8"/>
        <v>High Performance</v>
      </c>
      <c r="R6" s="6">
        <v>6</v>
      </c>
      <c r="S6" s="6" t="s">
        <v>29</v>
      </c>
      <c r="T6" s="6"/>
      <c r="U6" s="6"/>
      <c r="V6" s="6"/>
      <c r="W6" s="6"/>
    </row>
    <row r="7" spans="1:23" x14ac:dyDescent="0.3">
      <c r="A7" s="4">
        <v>106</v>
      </c>
      <c r="B7" s="5" t="s">
        <v>10</v>
      </c>
      <c r="C7" s="4">
        <v>130</v>
      </c>
      <c r="D7" s="4">
        <v>160</v>
      </c>
      <c r="E7" s="4" t="s">
        <v>12</v>
      </c>
      <c r="F7" s="4" t="str">
        <f t="shared" si="0"/>
        <v>Not Met</v>
      </c>
      <c r="G7" s="4" t="str">
        <f t="shared" si="1"/>
        <v>Not Eligible</v>
      </c>
      <c r="H7" s="4" t="str">
        <f t="shared" si="2"/>
        <v>5%</v>
      </c>
      <c r="I7" s="4" t="str">
        <f t="shared" si="3"/>
        <v>5%</v>
      </c>
      <c r="J7" s="4">
        <f t="shared" si="4"/>
        <v>6.5</v>
      </c>
      <c r="K7" s="4" t="str">
        <f t="shared" si="5"/>
        <v>Needs Improvement</v>
      </c>
      <c r="L7" s="4" t="str">
        <f t="shared" si="6"/>
        <v>Medium</v>
      </c>
      <c r="M7" s="4" t="str">
        <f t="shared" si="7"/>
        <v>$300</v>
      </c>
      <c r="N7" s="4" t="str">
        <f t="shared" si="8"/>
        <v>Low Performance</v>
      </c>
      <c r="R7" s="6">
        <v>7</v>
      </c>
      <c r="S7" s="6" t="s">
        <v>30</v>
      </c>
      <c r="T7" s="6"/>
      <c r="U7" s="6"/>
      <c r="V7" s="6"/>
      <c r="W7" s="6"/>
    </row>
    <row r="8" spans="1:23" x14ac:dyDescent="0.3">
      <c r="R8" s="6">
        <v>8</v>
      </c>
      <c r="S8" s="6" t="s">
        <v>31</v>
      </c>
      <c r="T8" s="6"/>
      <c r="U8" s="6"/>
      <c r="V8" s="6"/>
      <c r="W8" s="6"/>
    </row>
    <row r="10" spans="1:23" x14ac:dyDescent="0.3">
      <c r="B10" s="1"/>
      <c r="C10" s="1"/>
      <c r="D10" s="1"/>
      <c r="E10" s="1"/>
      <c r="F10" s="1"/>
    </row>
    <row r="11" spans="1:23" x14ac:dyDescent="0.3">
      <c r="B11" s="1"/>
      <c r="C11" s="1"/>
      <c r="D11" s="1"/>
      <c r="E11" s="1"/>
      <c r="F11" s="1"/>
    </row>
    <row r="12" spans="1:23" x14ac:dyDescent="0.3">
      <c r="B12" s="1"/>
      <c r="C12" s="1"/>
      <c r="D12" s="1"/>
      <c r="E12" s="1"/>
      <c r="F12" s="1"/>
    </row>
    <row r="13" spans="1:23" x14ac:dyDescent="0.3">
      <c r="B13" s="1"/>
      <c r="C13" s="1"/>
      <c r="D13" s="1"/>
      <c r="E13" s="1"/>
      <c r="F13" s="1"/>
    </row>
    <row r="14" spans="1:23" x14ac:dyDescent="0.3">
      <c r="B14" s="1"/>
      <c r="C14" s="1"/>
      <c r="D14" s="1"/>
      <c r="E14" s="1"/>
      <c r="F14" s="1"/>
    </row>
    <row r="18" spans="1:1" x14ac:dyDescent="0.3">
      <c r="A18" s="2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Maa nachinda</dc:creator>
  <cp:lastModifiedBy>Debjit Das</cp:lastModifiedBy>
  <dcterms:created xsi:type="dcterms:W3CDTF">2010-11-01T08:13:25Z</dcterms:created>
  <dcterms:modified xsi:type="dcterms:W3CDTF">2026-08-03T09:26:18Z</dcterms:modified>
</cp:coreProperties>
</file>