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Debjit\Downloads\"/>
    </mc:Choice>
  </mc:AlternateContent>
  <xr:revisionPtr revIDLastSave="0" documentId="13_ncr:1_{00DF8A04-9DC6-4B19-BD3F-A3AB724B79C6}" xr6:coauthVersionLast="47" xr6:coauthVersionMax="47" xr10:uidLastSave="{00000000-0000-0000-0000-000000000000}"/>
  <bookViews>
    <workbookView xWindow="2988" yWindow="2100" windowWidth="17280" windowHeight="8880" xr2:uid="{00000000-000D-0000-FFFF-FFFF00000000}"/>
  </bookViews>
  <sheets>
    <sheet name="Sales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2" i="1" l="1"/>
  <c r="B29" i="1"/>
  <c r="J3" i="1"/>
  <c r="J4" i="1"/>
  <c r="J5" i="1"/>
  <c r="J6" i="1"/>
  <c r="J7" i="1"/>
  <c r="J8" i="1"/>
  <c r="J2" i="1"/>
  <c r="I3" i="1"/>
  <c r="I4" i="1"/>
  <c r="I5" i="1"/>
  <c r="I6" i="1"/>
  <c r="I7" i="1"/>
  <c r="I8" i="1"/>
  <c r="I2" i="1"/>
  <c r="B35" i="1"/>
  <c r="B26" i="1"/>
  <c r="B25" i="1"/>
  <c r="B24" i="1"/>
  <c r="B23" i="1"/>
  <c r="B22" i="1"/>
  <c r="B21" i="1"/>
  <c r="C26" i="1"/>
  <c r="C25" i="1"/>
  <c r="C24" i="1"/>
  <c r="C23" i="1"/>
  <c r="C22" i="1"/>
  <c r="C21" i="1"/>
  <c r="B18" i="1"/>
  <c r="B15" i="1"/>
  <c r="B12" i="1"/>
  <c r="H8" i="1"/>
  <c r="F8" i="1"/>
  <c r="E8" i="1"/>
  <c r="D8" i="1"/>
  <c r="C8" i="1"/>
  <c r="B8" i="1"/>
  <c r="H7" i="1"/>
  <c r="G7" i="1"/>
  <c r="H6" i="1"/>
  <c r="G6" i="1"/>
  <c r="H5" i="1"/>
  <c r="G5" i="1"/>
  <c r="H4" i="1"/>
  <c r="G4" i="1"/>
  <c r="H3" i="1"/>
  <c r="G3" i="1"/>
  <c r="H2" i="1"/>
  <c r="G2" i="1"/>
  <c r="G8" i="1" s="1"/>
</calcChain>
</file>

<file path=xl/sharedStrings.xml><?xml version="1.0" encoding="utf-8"?>
<sst xmlns="http://schemas.openxmlformats.org/spreadsheetml/2006/main" count="51" uniqueCount="25">
  <si>
    <t>Product</t>
  </si>
  <si>
    <t>Jan</t>
  </si>
  <si>
    <t>Feb</t>
  </si>
  <si>
    <t>Mar</t>
  </si>
  <si>
    <t>Apr</t>
  </si>
  <si>
    <t>May</t>
  </si>
  <si>
    <t>Total Sales</t>
  </si>
  <si>
    <t>Average</t>
  </si>
  <si>
    <t>Product A</t>
  </si>
  <si>
    <t>Product B</t>
  </si>
  <si>
    <t>Product C</t>
  </si>
  <si>
    <t>Product D</t>
  </si>
  <si>
    <t>Product E</t>
  </si>
  <si>
    <t>Product F</t>
  </si>
  <si>
    <t>Monthly Total</t>
  </si>
  <si>
    <t xml:space="preserve">Product Name </t>
  </si>
  <si>
    <t xml:space="preserve">1) Sales Of March </t>
  </si>
  <si>
    <t>2) Sales Of May</t>
  </si>
  <si>
    <t>3) Sales Of February</t>
  </si>
  <si>
    <t>4) Use HLOOKUP to find the sales for each month for a product, then calculate the total sales for that product.</t>
  </si>
  <si>
    <t>5) Use HLOOKUP to find the maximum sales value for Product B across all months.</t>
  </si>
  <si>
    <t>6) Use HLOOKUP to find the minimum sales value for Product F across all months.</t>
  </si>
  <si>
    <t>7) Use HLOOKUP to find the average sales value for Product E across all months.</t>
  </si>
  <si>
    <t>Max</t>
  </si>
  <si>
    <t>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</si>
</sst>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#,##0.0"/>
  </numFmts>
  <fonts count="8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2F7FA"/>
        <bgColor rgb="FFF2F7FA"/>
      </patternFill>
    </fill>
    <fill>
      <patternFill patternType="solid">
        <fgColor rgb="FFD9E1F2"/>
        <bgColor rgb="FFD9E1F2"/>
      </patternFill>
    </fill>
    <fill>
      <patternFill patternType="solid">
        <fgColor rgb="FFFFFF00"/>
        <bgColor rgb="FF1F4E78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000000"/>
      </top>
      <bottom style="double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</borders>
  <cellStyleXfs count="2">
    <xf numFmtId="0" fontId="0" fillId="0" borderId="0"/>
    <xf numFmtId="164" fontId="3" fillId="0" borderId="0" applyFont="0" applyFill="0" applyBorder="0" applyAlignment="0" applyProtection="0"/>
  </cellStyleXfs>
  <cellXfs count="31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3" fontId="1" fillId="2" borderId="1" xfId="0" applyNumberFormat="1" applyFont="1" applyFill="1" applyBorder="1" applyAlignment="1">
      <alignment horizontal="right" vertical="center"/>
    </xf>
    <xf numFmtId="0" fontId="2" fillId="0" borderId="1" xfId="0" applyFont="1" applyBorder="1" applyAlignment="1">
      <alignment horizontal="left" vertical="center"/>
    </xf>
    <xf numFmtId="3" fontId="1" fillId="0" borderId="1" xfId="0" applyNumberFormat="1" applyFont="1" applyBorder="1" applyAlignment="1">
      <alignment horizontal="right" vertical="center"/>
    </xf>
    <xf numFmtId="0" fontId="2" fillId="3" borderId="2" xfId="0" applyFont="1" applyFill="1" applyBorder="1" applyAlignment="1">
      <alignment horizontal="left" vertical="center"/>
    </xf>
    <xf numFmtId="3" fontId="2" fillId="3" borderId="2" xfId="0" applyNumberFormat="1" applyFont="1" applyFill="1" applyBorder="1" applyAlignment="1">
      <alignment horizontal="right" vertical="center"/>
    </xf>
    <xf numFmtId="165" fontId="2" fillId="3" borderId="2" xfId="0" applyNumberFormat="1" applyFont="1" applyFill="1" applyBorder="1" applyAlignment="1">
      <alignment horizontal="right" vertical="center"/>
    </xf>
    <xf numFmtId="0" fontId="0" fillId="0" borderId="3" xfId="0" applyBorder="1"/>
    <xf numFmtId="0" fontId="4" fillId="0" borderId="0" xfId="0" applyFont="1"/>
    <xf numFmtId="0" fontId="0" fillId="0" borderId="3" xfId="0" applyBorder="1" applyAlignment="1">
      <alignment horizontal="center" vertical="center"/>
    </xf>
    <xf numFmtId="0" fontId="0" fillId="0" borderId="4" xfId="0" applyBorder="1"/>
    <xf numFmtId="0" fontId="0" fillId="0" borderId="4" xfId="0" applyBorder="1" applyAlignment="1">
      <alignment horizontal="center" vertical="center"/>
    </xf>
    <xf numFmtId="0" fontId="0" fillId="0" borderId="5" xfId="0" applyBorder="1"/>
    <xf numFmtId="0" fontId="0" fillId="0" borderId="5" xfId="0" applyBorder="1" applyAlignment="1">
      <alignment horizontal="center" vertical="center"/>
    </xf>
    <xf numFmtId="164" fontId="0" fillId="0" borderId="5" xfId="1" applyFont="1" applyBorder="1" applyAlignment="1">
      <alignment horizontal="center"/>
    </xf>
    <xf numFmtId="0" fontId="0" fillId="0" borderId="6" xfId="0" applyBorder="1"/>
    <xf numFmtId="0" fontId="0" fillId="0" borderId="6" xfId="0" applyBorder="1" applyAlignment="1">
      <alignment horizontal="center" vertical="center"/>
    </xf>
    <xf numFmtId="164" fontId="0" fillId="0" borderId="6" xfId="1" applyFont="1" applyBorder="1" applyAlignment="1">
      <alignment horizontal="center"/>
    </xf>
    <xf numFmtId="3" fontId="0" fillId="0" borderId="6" xfId="0" applyNumberFormat="1" applyBorder="1"/>
    <xf numFmtId="3" fontId="0" fillId="0" borderId="5" xfId="0" applyNumberFormat="1" applyBorder="1"/>
    <xf numFmtId="0" fontId="4" fillId="0" borderId="5" xfId="0" applyFont="1" applyBorder="1" applyAlignment="1">
      <alignment horizontal="left"/>
    </xf>
    <xf numFmtId="0" fontId="4" fillId="0" borderId="3" xfId="0" applyFont="1" applyBorder="1" applyAlignment="1">
      <alignment horizontal="left" vertical="center"/>
    </xf>
    <xf numFmtId="0" fontId="4" fillId="0" borderId="4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0" fontId="5" fillId="4" borderId="0" xfId="0" applyFont="1" applyFill="1" applyAlignment="1">
      <alignment horizontal="left" vertical="center"/>
    </xf>
    <xf numFmtId="0" fontId="5" fillId="4" borderId="0" xfId="0" applyFont="1" applyFill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7" fillId="6" borderId="3" xfId="0" applyFont="1" applyFill="1" applyBorder="1"/>
    <xf numFmtId="0" fontId="4" fillId="5" borderId="5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5"/>
  <sheetViews>
    <sheetView tabSelected="1" topLeftCell="A20" workbookViewId="0">
      <selection activeCell="B34" sqref="B34"/>
    </sheetView>
  </sheetViews>
  <sheetFormatPr defaultRowHeight="14.4" x14ac:dyDescent="0.3"/>
  <cols>
    <col min="1" max="1" width="12.88671875" bestFit="1" customWidth="1"/>
    <col min="2" max="2" width="13.77734375" bestFit="1" customWidth="1"/>
    <col min="3" max="3" width="9.77734375" bestFit="1" customWidth="1"/>
    <col min="4" max="6" width="5.5546875" bestFit="1" customWidth="1"/>
    <col min="7" max="7" width="9.88671875" bestFit="1" customWidth="1"/>
    <col min="8" max="8" width="7.88671875" bestFit="1" customWidth="1"/>
  </cols>
  <sheetData>
    <row r="1" spans="1:10" x14ac:dyDescent="0.3">
      <c r="A1" s="25" t="s">
        <v>0</v>
      </c>
      <c r="B1" s="26" t="s">
        <v>1</v>
      </c>
      <c r="C1" s="26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23</v>
      </c>
      <c r="J1" s="26" t="s">
        <v>24</v>
      </c>
    </row>
    <row r="2" spans="1:10" x14ac:dyDescent="0.3">
      <c r="A2" s="1" t="s">
        <v>8</v>
      </c>
      <c r="B2" s="2">
        <v>120</v>
      </c>
      <c r="C2" s="2">
        <v>130</v>
      </c>
      <c r="D2" s="2">
        <v>140</v>
      </c>
      <c r="E2" s="2">
        <v>150</v>
      </c>
      <c r="F2" s="2">
        <v>160</v>
      </c>
      <c r="G2" s="2">
        <f t="shared" ref="G2:G7" si="0">SUM(B2:F2)</f>
        <v>700</v>
      </c>
      <c r="H2" s="2">
        <f t="shared" ref="H2:H7" si="1">AVERAGE(B2:F2)</f>
        <v>140</v>
      </c>
      <c r="I2" s="2">
        <f>MAX(B2:F2)</f>
        <v>160</v>
      </c>
      <c r="J2" s="2">
        <f>MIN(B2:F2)</f>
        <v>120</v>
      </c>
    </row>
    <row r="3" spans="1:10" x14ac:dyDescent="0.3">
      <c r="A3" s="3" t="s">
        <v>9</v>
      </c>
      <c r="B3" s="4">
        <v>150</v>
      </c>
      <c r="C3" s="4">
        <v>160</v>
      </c>
      <c r="D3" s="4">
        <v>170</v>
      </c>
      <c r="E3" s="4">
        <v>180</v>
      </c>
      <c r="F3" s="4">
        <v>190</v>
      </c>
      <c r="G3" s="4">
        <f t="shared" si="0"/>
        <v>850</v>
      </c>
      <c r="H3" s="4">
        <f t="shared" si="1"/>
        <v>170</v>
      </c>
      <c r="I3" s="4">
        <f t="shared" ref="I3:I8" si="2">MAX(B3:F3)</f>
        <v>190</v>
      </c>
      <c r="J3" s="4">
        <f t="shared" ref="J3:J8" si="3">MIN(B3:F3)</f>
        <v>150</v>
      </c>
    </row>
    <row r="4" spans="1:10" x14ac:dyDescent="0.3">
      <c r="A4" s="1" t="s">
        <v>10</v>
      </c>
      <c r="B4" s="2">
        <v>200</v>
      </c>
      <c r="C4" s="2">
        <v>210</v>
      </c>
      <c r="D4" s="2">
        <v>220</v>
      </c>
      <c r="E4" s="2">
        <v>230</v>
      </c>
      <c r="F4" s="2">
        <v>240</v>
      </c>
      <c r="G4" s="2">
        <f t="shared" si="0"/>
        <v>1100</v>
      </c>
      <c r="H4" s="2">
        <f t="shared" si="1"/>
        <v>220</v>
      </c>
      <c r="I4" s="2">
        <f t="shared" si="2"/>
        <v>240</v>
      </c>
      <c r="J4" s="2">
        <f t="shared" si="3"/>
        <v>200</v>
      </c>
    </row>
    <row r="5" spans="1:10" x14ac:dyDescent="0.3">
      <c r="A5" s="3" t="s">
        <v>11</v>
      </c>
      <c r="B5" s="4">
        <v>90</v>
      </c>
      <c r="C5" s="4">
        <v>100</v>
      </c>
      <c r="D5" s="4">
        <v>110</v>
      </c>
      <c r="E5" s="4">
        <v>120</v>
      </c>
      <c r="F5" s="4">
        <v>130</v>
      </c>
      <c r="G5" s="4">
        <f t="shared" si="0"/>
        <v>550</v>
      </c>
      <c r="H5" s="4">
        <f t="shared" si="1"/>
        <v>110</v>
      </c>
      <c r="I5" s="4">
        <f t="shared" si="2"/>
        <v>130</v>
      </c>
      <c r="J5" s="4">
        <f t="shared" si="3"/>
        <v>90</v>
      </c>
    </row>
    <row r="6" spans="1:10" x14ac:dyDescent="0.3">
      <c r="A6" s="1" t="s">
        <v>12</v>
      </c>
      <c r="B6" s="2">
        <v>220</v>
      </c>
      <c r="C6" s="2">
        <v>230</v>
      </c>
      <c r="D6" s="2">
        <v>240</v>
      </c>
      <c r="E6" s="2">
        <v>250</v>
      </c>
      <c r="F6" s="2">
        <v>260</v>
      </c>
      <c r="G6" s="2">
        <f t="shared" si="0"/>
        <v>1200</v>
      </c>
      <c r="H6" s="2">
        <f t="shared" si="1"/>
        <v>240</v>
      </c>
      <c r="I6" s="2">
        <f t="shared" si="2"/>
        <v>260</v>
      </c>
      <c r="J6" s="2">
        <f t="shared" si="3"/>
        <v>220</v>
      </c>
    </row>
    <row r="7" spans="1:10" x14ac:dyDescent="0.3">
      <c r="A7" s="3" t="s">
        <v>13</v>
      </c>
      <c r="B7" s="4">
        <v>130</v>
      </c>
      <c r="C7" s="4">
        <v>140</v>
      </c>
      <c r="D7" s="4">
        <v>150</v>
      </c>
      <c r="E7" s="4">
        <v>160</v>
      </c>
      <c r="F7" s="4">
        <v>170</v>
      </c>
      <c r="G7" s="4">
        <f t="shared" si="0"/>
        <v>750</v>
      </c>
      <c r="H7" s="4">
        <f t="shared" si="1"/>
        <v>150</v>
      </c>
      <c r="I7" s="4">
        <f t="shared" si="2"/>
        <v>170</v>
      </c>
      <c r="J7" s="4">
        <f t="shared" si="3"/>
        <v>130</v>
      </c>
    </row>
    <row r="8" spans="1:10" ht="15" thickBot="1" x14ac:dyDescent="0.35">
      <c r="A8" s="5" t="s">
        <v>14</v>
      </c>
      <c r="B8" s="6">
        <f t="shared" ref="B8:G8" si="4">SUM(B2:B7)</f>
        <v>910</v>
      </c>
      <c r="C8" s="6">
        <f t="shared" si="4"/>
        <v>970</v>
      </c>
      <c r="D8" s="6">
        <f t="shared" si="4"/>
        <v>1030</v>
      </c>
      <c r="E8" s="6">
        <f t="shared" si="4"/>
        <v>1090</v>
      </c>
      <c r="F8" s="6">
        <f t="shared" si="4"/>
        <v>1150</v>
      </c>
      <c r="G8" s="6">
        <f t="shared" si="4"/>
        <v>5150</v>
      </c>
      <c r="H8" s="7">
        <f>AVERAGE(B2:F7)</f>
        <v>171.66666666666666</v>
      </c>
      <c r="I8" s="6">
        <f t="shared" si="2"/>
        <v>1150</v>
      </c>
      <c r="J8" s="7">
        <f t="shared" si="3"/>
        <v>910</v>
      </c>
    </row>
    <row r="9" spans="1:10" ht="15" thickTop="1" x14ac:dyDescent="0.3"/>
    <row r="10" spans="1:10" x14ac:dyDescent="0.3">
      <c r="A10" s="22" t="s">
        <v>16</v>
      </c>
      <c r="B10" s="22"/>
      <c r="C10" s="9"/>
    </row>
    <row r="11" spans="1:10" x14ac:dyDescent="0.3">
      <c r="A11" s="28" t="s">
        <v>15</v>
      </c>
      <c r="B11" s="28" t="s">
        <v>3</v>
      </c>
    </row>
    <row r="12" spans="1:10" x14ac:dyDescent="0.3">
      <c r="A12" s="29" t="s">
        <v>8</v>
      </c>
      <c r="B12" s="10">
        <f>HLOOKUP(B11,A1:H8,2,0)</f>
        <v>140</v>
      </c>
    </row>
    <row r="13" spans="1:10" x14ac:dyDescent="0.3">
      <c r="A13" s="22" t="s">
        <v>17</v>
      </c>
      <c r="B13" s="22"/>
    </row>
    <row r="14" spans="1:10" x14ac:dyDescent="0.3">
      <c r="A14" s="27" t="s">
        <v>15</v>
      </c>
      <c r="B14" s="27" t="s">
        <v>5</v>
      </c>
    </row>
    <row r="15" spans="1:10" x14ac:dyDescent="0.3">
      <c r="A15" s="8" t="s">
        <v>11</v>
      </c>
      <c r="B15" s="10">
        <f>HLOOKUP(B14,A1:H8,5,0)</f>
        <v>130</v>
      </c>
    </row>
    <row r="16" spans="1:10" x14ac:dyDescent="0.3">
      <c r="A16" s="22" t="s">
        <v>18</v>
      </c>
      <c r="B16" s="22"/>
    </row>
    <row r="17" spans="1:11" x14ac:dyDescent="0.3">
      <c r="A17" s="27" t="s">
        <v>15</v>
      </c>
      <c r="B17" s="27" t="s">
        <v>2</v>
      </c>
    </row>
    <row r="18" spans="1:11" x14ac:dyDescent="0.3">
      <c r="A18" s="11" t="s">
        <v>10</v>
      </c>
      <c r="B18" s="12">
        <f>HLOOKUP(B17,A1:H8,4,0)</f>
        <v>210</v>
      </c>
    </row>
    <row r="19" spans="1:11" x14ac:dyDescent="0.3">
      <c r="A19" s="23" t="s">
        <v>19</v>
      </c>
      <c r="B19" s="23"/>
      <c r="C19" s="23"/>
      <c r="D19" s="24"/>
      <c r="E19" s="24"/>
      <c r="F19" s="24"/>
      <c r="G19" s="24"/>
      <c r="H19" s="24"/>
      <c r="I19" s="24"/>
      <c r="J19" s="24"/>
      <c r="K19" s="24"/>
    </row>
    <row r="20" spans="1:11" x14ac:dyDescent="0.3">
      <c r="A20" s="30" t="s">
        <v>0</v>
      </c>
      <c r="B20" s="30" t="s">
        <v>1</v>
      </c>
      <c r="C20" s="30" t="s">
        <v>6</v>
      </c>
    </row>
    <row r="21" spans="1:11" x14ac:dyDescent="0.3">
      <c r="A21" s="13" t="s">
        <v>8</v>
      </c>
      <c r="B21" s="14">
        <f>HLOOKUP($B$20,$A$1:$H$8,2,0)</f>
        <v>120</v>
      </c>
      <c r="C21" s="15">
        <f>HLOOKUP($C$20,$A$1:$H$8,2,0)</f>
        <v>700</v>
      </c>
    </row>
    <row r="22" spans="1:11" x14ac:dyDescent="0.3">
      <c r="A22" s="13" t="s">
        <v>9</v>
      </c>
      <c r="B22" s="14">
        <f>HLOOKUP($B$20,$A$1:$H$8,3,0)</f>
        <v>150</v>
      </c>
      <c r="C22" s="15">
        <f>HLOOKUP($C$20,$A$1:$H$8,3,0)</f>
        <v>850</v>
      </c>
    </row>
    <row r="23" spans="1:11" x14ac:dyDescent="0.3">
      <c r="A23" s="13" t="s">
        <v>10</v>
      </c>
      <c r="B23" s="14">
        <f>HLOOKUP($B$20,$A$1:$H$8,4,0)</f>
        <v>200</v>
      </c>
      <c r="C23" s="15">
        <f>HLOOKUP($C$20,$A$1:$H$8,4,0)</f>
        <v>1100</v>
      </c>
    </row>
    <row r="24" spans="1:11" x14ac:dyDescent="0.3">
      <c r="A24" s="13" t="s">
        <v>11</v>
      </c>
      <c r="B24" s="14">
        <f>HLOOKUP($B$20,$A$1:$H$8,5,0)</f>
        <v>90</v>
      </c>
      <c r="C24" s="15">
        <f>HLOOKUP($C$20,$A$1:$H$8,5,0)</f>
        <v>550</v>
      </c>
    </row>
    <row r="25" spans="1:11" x14ac:dyDescent="0.3">
      <c r="A25" s="13" t="s">
        <v>12</v>
      </c>
      <c r="B25" s="14">
        <f>HLOOKUP($B$20,$A$1:$H$8,6,0)</f>
        <v>220</v>
      </c>
      <c r="C25" s="15">
        <f>HLOOKUP($C$20,$A$1:$H$8,6,0)</f>
        <v>1200</v>
      </c>
    </row>
    <row r="26" spans="1:11" x14ac:dyDescent="0.3">
      <c r="A26" s="16" t="s">
        <v>13</v>
      </c>
      <c r="B26" s="17">
        <f>HLOOKUP($B$20,$A$1:$H$8,7,0)</f>
        <v>130</v>
      </c>
      <c r="C26" s="18">
        <f>HLOOKUP($C$20,$A$1:$H$8,7,0)</f>
        <v>750</v>
      </c>
    </row>
    <row r="27" spans="1:11" x14ac:dyDescent="0.3">
      <c r="A27" s="21" t="s">
        <v>20</v>
      </c>
      <c r="B27" s="21"/>
      <c r="C27" s="21"/>
      <c r="D27" s="21"/>
      <c r="E27" s="21"/>
      <c r="F27" s="21"/>
      <c r="G27" s="21"/>
      <c r="H27" s="21"/>
    </row>
    <row r="28" spans="1:11" x14ac:dyDescent="0.3">
      <c r="A28" s="30" t="s">
        <v>15</v>
      </c>
      <c r="B28" s="30" t="s">
        <v>23</v>
      </c>
    </row>
    <row r="29" spans="1:11" x14ac:dyDescent="0.3">
      <c r="A29" t="s">
        <v>9</v>
      </c>
      <c r="B29" s="19">
        <f>MAX(HLOOKUP(B28,A1:J8,3,0))</f>
        <v>190</v>
      </c>
    </row>
    <row r="30" spans="1:11" x14ac:dyDescent="0.3">
      <c r="A30" s="21" t="s">
        <v>21</v>
      </c>
      <c r="B30" s="21"/>
      <c r="C30" s="21"/>
      <c r="D30" s="21"/>
      <c r="E30" s="21"/>
      <c r="F30" s="21"/>
      <c r="G30" s="21"/>
      <c r="H30" s="21"/>
    </row>
    <row r="31" spans="1:11" x14ac:dyDescent="0.3">
      <c r="A31" s="30" t="s">
        <v>15</v>
      </c>
      <c r="B31" s="30" t="s">
        <v>24</v>
      </c>
    </row>
    <row r="32" spans="1:11" x14ac:dyDescent="0.3">
      <c r="A32" t="s">
        <v>13</v>
      </c>
      <c r="B32" s="19">
        <f>MIN(HLOOKUP(B31,A1:J8,7,0))</f>
        <v>130</v>
      </c>
    </row>
    <row r="33" spans="1:8" x14ac:dyDescent="0.3">
      <c r="A33" s="21" t="s">
        <v>22</v>
      </c>
      <c r="B33" s="21"/>
      <c r="C33" s="21"/>
      <c r="D33" s="21"/>
      <c r="E33" s="21"/>
      <c r="F33" s="21"/>
      <c r="G33" s="21"/>
      <c r="H33" s="21"/>
    </row>
    <row r="34" spans="1:8" x14ac:dyDescent="0.3">
      <c r="A34" s="30" t="s">
        <v>15</v>
      </c>
      <c r="B34" s="30" t="s">
        <v>7</v>
      </c>
    </row>
    <row r="35" spans="1:8" x14ac:dyDescent="0.3">
      <c r="A35" s="13" t="s">
        <v>12</v>
      </c>
      <c r="B35" s="20">
        <f>AVERAGE(HLOOKUP(B34,A1:H8,6,0))</f>
        <v>240</v>
      </c>
    </row>
  </sheetData>
  <mergeCells count="7">
    <mergeCell ref="A30:H30"/>
    <mergeCell ref="A33:H33"/>
    <mergeCell ref="A10:B10"/>
    <mergeCell ref="A13:B13"/>
    <mergeCell ref="A16:B16"/>
    <mergeCell ref="A19:K19"/>
    <mergeCell ref="A27:H27"/>
  </mergeCells>
  <dataValidations count="1">
    <dataValidation type="list" allowBlank="1" showInputMessage="1" showErrorMessage="1" sqref="B20" xr:uid="{0F116F13-4D97-435D-A0D8-4C5042C8C465}">
      <formula1>$B$1:$F$1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Debjit Das</cp:lastModifiedBy>
  <dcterms:created xsi:type="dcterms:W3CDTF">2026-08-07T10:06:01Z</dcterms:created>
  <dcterms:modified xsi:type="dcterms:W3CDTF">2026-08-10T08:54:45Z</dcterms:modified>
</cp:coreProperties>
</file>